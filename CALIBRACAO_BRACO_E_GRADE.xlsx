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a vertical" sheetId="1" state="visible" r:id="rId1"/>
    <sheet name="Grade horizontal" sheetId="2" state="visible" r:id="rId2"/>
    <sheet name="Pecíolo" sheetId="3" state="visible" r:id="rId3"/>
    <sheet name="Instruções" sheetId="4" state="visible" r:id="rId4"/>
  </sheets>
  <definedNames>
    <definedName name="_xlnm._FilterDatabase" localSheetId="0" hidden="1">'Curva vertical'!$A$3:$P$12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74E13"/>
      </patternFill>
    </fill>
    <fill>
      <patternFill patternType="solid">
        <fgColor rgb="00507D2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32" customWidth="1" min="16" max="16"/>
  </cols>
  <sheetData>
    <row r="1">
      <c r="A1" s="1" t="inlineStr">
        <is>
          <t>CALIBRAÇÃO DO BRAÇO E DA DISTÂNCIA DA GRADE</t>
        </is>
      </c>
    </row>
    <row r="3">
      <c r="A3" s="2" t="inlineStr">
        <is>
          <t>Ponto</t>
        </is>
      </c>
      <c r="B3" s="2" t="inlineStr">
        <is>
          <t>Uso</t>
        </is>
      </c>
      <c r="C3" s="2" t="inlineStr">
        <is>
          <t>Altura nominal (cm)</t>
        </is>
      </c>
      <c r="D3" s="2" t="inlineStr">
        <is>
          <t>Altura medida (cm)</t>
        </is>
      </c>
      <c r="E3" s="2" t="inlineStr">
        <is>
          <t>Distância 1 (cm)</t>
        </is>
      </c>
      <c r="F3" s="2" t="inlineStr">
        <is>
          <t>Distância 2 (cm)</t>
        </is>
      </c>
      <c r="G3" s="2" t="inlineStr">
        <is>
          <t>Distância 3 (cm)</t>
        </is>
      </c>
      <c r="H3" s="2" t="inlineStr">
        <is>
          <t>Distância média (cm)</t>
        </is>
      </c>
      <c r="I3" s="2" t="inlineStr">
        <is>
          <t>Erro de altura (cm)</t>
        </is>
      </c>
      <c r="J3" s="2" t="inlineStr">
        <is>
          <t>Ombro nominal (°)</t>
        </is>
      </c>
      <c r="K3" s="2" t="inlineStr">
        <is>
          <t>Ombro ajustado (°)</t>
        </is>
      </c>
      <c r="L3" s="2" t="inlineStr">
        <is>
          <t>Cotovelo nominal (°)</t>
        </is>
      </c>
      <c r="M3" s="2" t="inlineStr">
        <is>
          <t>Cotovelo ajustado (°)</t>
        </is>
      </c>
      <c r="N3" s="2" t="inlineStr">
        <is>
          <t>Distância adequada?</t>
        </is>
      </c>
      <c r="O3" s="2" t="inlineStr">
        <is>
          <t>Movimento seguro?</t>
        </is>
      </c>
      <c r="P3" s="2" t="inlineStr">
        <is>
          <t>Observações</t>
        </is>
      </c>
    </row>
    <row r="4">
      <c r="A4" s="3" t="n">
        <v>1</v>
      </c>
      <c r="B4" s="3" t="inlineStr">
        <is>
          <t>Trajetória</t>
        </is>
      </c>
      <c r="C4" s="3" t="n">
        <v>18.5</v>
      </c>
      <c r="D4" s="4" t="n"/>
      <c r="E4" s="4" t="n"/>
      <c r="F4" s="4" t="n"/>
      <c r="G4" s="4" t="n"/>
      <c r="H4" s="3">
        <f>IF(COUNT(E4:G4)=0,"",AVERAGE(E4:G4))</f>
        <v/>
      </c>
      <c r="I4" s="3">
        <f>IF(D4="","",D4-C4)</f>
        <v/>
      </c>
      <c r="J4" s="3" t="n">
        <v>105</v>
      </c>
      <c r="K4" s="4" t="n"/>
      <c r="L4" s="3" t="n">
        <v>140</v>
      </c>
      <c r="M4" s="4" t="n"/>
      <c r="N4" s="4" t="n"/>
      <c r="O4" s="4" t="n"/>
      <c r="P4" s="4" t="n"/>
    </row>
    <row r="5">
      <c r="A5" s="3" t="n">
        <v>2</v>
      </c>
      <c r="B5" s="3" t="inlineStr">
        <is>
          <t>Trajetória</t>
        </is>
      </c>
      <c r="C5" s="3" t="n">
        <v>17.5</v>
      </c>
      <c r="D5" s="4" t="n"/>
      <c r="E5" s="4" t="n"/>
      <c r="F5" s="4" t="n"/>
      <c r="G5" s="4" t="n"/>
      <c r="H5" s="3">
        <f>IF(COUNT(E5:G5)=0,"",AVERAGE(E5:G5))</f>
        <v/>
      </c>
      <c r="I5" s="3">
        <f>IF(D5="","",D5-C5)</f>
        <v/>
      </c>
      <c r="J5" s="3" t="n">
        <v>107</v>
      </c>
      <c r="K5" s="4" t="n"/>
      <c r="L5" s="3" t="n">
        <v>127</v>
      </c>
      <c r="M5" s="4" t="n"/>
      <c r="N5" s="4" t="n"/>
      <c r="O5" s="4" t="n"/>
      <c r="P5" s="4" t="n"/>
    </row>
    <row r="6">
      <c r="A6" s="3" t="n">
        <v>3</v>
      </c>
      <c r="B6" s="3" t="inlineStr">
        <is>
          <t>Grade - linha 0</t>
        </is>
      </c>
      <c r="C6" s="3" t="n">
        <v>15</v>
      </c>
      <c r="D6" s="4" t="n"/>
      <c r="E6" s="4" t="n"/>
      <c r="F6" s="4" t="n"/>
      <c r="G6" s="4" t="n"/>
      <c r="H6" s="3">
        <f>IF(COUNT(E6:G6)=0,"",AVERAGE(E6:G6))</f>
        <v/>
      </c>
      <c r="I6" s="3">
        <f>IF(D6="","",D6-C6)</f>
        <v/>
      </c>
      <c r="J6" s="3" t="n">
        <v>110</v>
      </c>
      <c r="K6" s="4" t="n"/>
      <c r="L6" s="3" t="n">
        <v>100</v>
      </c>
      <c r="M6" s="4" t="n"/>
      <c r="N6" s="4" t="n"/>
      <c r="O6" s="4" t="n"/>
      <c r="P6" s="4" t="n"/>
    </row>
    <row r="7">
      <c r="A7" s="3" t="n">
        <v>4</v>
      </c>
      <c r="B7" s="3" t="inlineStr">
        <is>
          <t>Grade - linha 1</t>
        </is>
      </c>
      <c r="C7" s="3" t="n">
        <v>13</v>
      </c>
      <c r="D7" s="4" t="n"/>
      <c r="E7" s="4" t="n"/>
      <c r="F7" s="4" t="n"/>
      <c r="G7" s="4" t="n"/>
      <c r="H7" s="3">
        <f>IF(COUNT(E7:G7)=0,"",AVERAGE(E7:G7))</f>
        <v/>
      </c>
      <c r="I7" s="3">
        <f>IF(D7="","",D7-C7)</f>
        <v/>
      </c>
      <c r="J7" s="3" t="n">
        <v>120</v>
      </c>
      <c r="K7" s="4" t="n"/>
      <c r="L7" s="3" t="n">
        <v>80</v>
      </c>
      <c r="M7" s="4" t="n"/>
      <c r="N7" s="4" t="n"/>
      <c r="O7" s="4" t="n"/>
      <c r="P7" s="4" t="n"/>
    </row>
    <row r="8">
      <c r="A8" s="3" t="n">
        <v>5</v>
      </c>
      <c r="B8" s="3" t="inlineStr">
        <is>
          <t>Grade - linha 2</t>
        </is>
      </c>
      <c r="C8" s="3" t="n">
        <v>11</v>
      </c>
      <c r="D8" s="4" t="n"/>
      <c r="E8" s="4" t="n"/>
      <c r="F8" s="4" t="n"/>
      <c r="G8" s="4" t="n"/>
      <c r="H8" s="3">
        <f>IF(COUNT(E8:G8)=0,"",AVERAGE(E8:G8))</f>
        <v/>
      </c>
      <c r="I8" s="3">
        <f>IF(D8="","",D8-C8)</f>
        <v/>
      </c>
      <c r="J8" s="3" t="n">
        <v>130</v>
      </c>
      <c r="K8" s="4" t="n"/>
      <c r="L8" s="3" t="n">
        <v>75</v>
      </c>
      <c r="M8" s="4" t="n"/>
      <c r="N8" s="4" t="n"/>
      <c r="O8" s="4" t="n"/>
      <c r="P8" s="4" t="n"/>
    </row>
    <row r="9">
      <c r="A9" s="3" t="n">
        <v>6</v>
      </c>
      <c r="B9" s="3" t="inlineStr">
        <is>
          <t>Grade - linha 3</t>
        </is>
      </c>
      <c r="C9" s="3" t="n">
        <v>9</v>
      </c>
      <c r="D9" s="4" t="n"/>
      <c r="E9" s="4" t="n"/>
      <c r="F9" s="4" t="n"/>
      <c r="G9" s="4" t="n"/>
      <c r="H9" s="3">
        <f>IF(COUNT(E9:G9)=0,"",AVERAGE(E9:G9))</f>
        <v/>
      </c>
      <c r="I9" s="3">
        <f>IF(D9="","",D9-C9)</f>
        <v/>
      </c>
      <c r="J9" s="3" t="n">
        <v>140</v>
      </c>
      <c r="K9" s="4" t="n"/>
      <c r="L9" s="3" t="n">
        <v>65</v>
      </c>
      <c r="M9" s="4" t="n"/>
      <c r="N9" s="4" t="n"/>
      <c r="O9" s="4" t="n"/>
      <c r="P9" s="4" t="n"/>
    </row>
    <row r="10">
      <c r="A10" s="3" t="n">
        <v>7</v>
      </c>
      <c r="B10" s="3" t="inlineStr">
        <is>
          <t>Grade - linha 4</t>
        </is>
      </c>
      <c r="C10" s="3" t="n">
        <v>7</v>
      </c>
      <c r="D10" s="4" t="n"/>
      <c r="E10" s="4" t="n"/>
      <c r="F10" s="4" t="n"/>
      <c r="G10" s="4" t="n"/>
      <c r="H10" s="3">
        <f>IF(COUNT(E10:G10)=0,"",AVERAGE(E10:G10))</f>
        <v/>
      </c>
      <c r="I10" s="3">
        <f>IF(D10="","",D10-C10)</f>
        <v/>
      </c>
      <c r="J10" s="3" t="n">
        <v>150</v>
      </c>
      <c r="K10" s="4" t="n"/>
      <c r="L10" s="3" t="n">
        <v>65</v>
      </c>
      <c r="M10" s="4" t="n"/>
      <c r="N10" s="4" t="n"/>
      <c r="O10" s="4" t="n"/>
      <c r="P10" s="4" t="n"/>
    </row>
    <row r="11">
      <c r="A11" s="3" t="n">
        <v>8</v>
      </c>
      <c r="B11" s="3" t="inlineStr">
        <is>
          <t>Grade - linha 5</t>
        </is>
      </c>
      <c r="C11" s="3" t="n">
        <v>5</v>
      </c>
      <c r="D11" s="4" t="n"/>
      <c r="E11" s="4" t="n"/>
      <c r="F11" s="4" t="n"/>
      <c r="G11" s="4" t="n"/>
      <c r="H11" s="3">
        <f>IF(COUNT(E11:G11)=0,"",AVERAGE(E11:G11))</f>
        <v/>
      </c>
      <c r="I11" s="3">
        <f>IF(D11="","",D11-C11)</f>
        <v/>
      </c>
      <c r="J11" s="3" t="n">
        <v>155</v>
      </c>
      <c r="K11" s="4" t="n"/>
      <c r="L11" s="3" t="n">
        <v>65</v>
      </c>
      <c r="M11" s="4" t="n"/>
      <c r="N11" s="4" t="n"/>
      <c r="O11" s="4" t="n"/>
      <c r="P11" s="4" t="n"/>
    </row>
    <row r="12">
      <c r="A12" s="3" t="n">
        <v>9</v>
      </c>
      <c r="B12" s="3" t="inlineStr">
        <is>
          <t>Limite inferior</t>
        </is>
      </c>
      <c r="C12" s="3" t="n">
        <v>2.5</v>
      </c>
      <c r="D12" s="4" t="n"/>
      <c r="E12" s="4" t="n"/>
      <c r="F12" s="4" t="n"/>
      <c r="G12" s="4" t="n"/>
      <c r="H12" s="3">
        <f>IF(COUNT(E12:G12)=0,"",AVERAGE(E12:G12))</f>
        <v/>
      </c>
      <c r="I12" s="3">
        <f>IF(D12="","",D12-C12)</f>
        <v/>
      </c>
      <c r="J12" s="3" t="n">
        <v>165</v>
      </c>
      <c r="K12" s="4" t="n"/>
      <c r="L12" s="3" t="n">
        <v>40</v>
      </c>
      <c r="M12" s="4" t="n"/>
      <c r="N12" s="4" t="n"/>
      <c r="O12" s="4" t="n"/>
      <c r="P12" s="4" t="n"/>
    </row>
  </sheetData>
  <autoFilter ref="A3:P12"/>
  <mergeCells count="1">
    <mergeCell ref="A1:P1"/>
  </mergeCells>
  <dataValidations count="1">
    <dataValidation sqref="N4:O12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35" customWidth="1" min="5" max="5"/>
  </cols>
  <sheetData>
    <row r="1">
      <c r="A1" s="1" t="inlineStr">
        <is>
          <t>CALIBRAÇÃO HORIZONTAL DA GRADE 6 × 6</t>
        </is>
      </c>
    </row>
    <row r="3">
      <c r="A3" s="2" t="inlineStr">
        <is>
          <t>Coluna</t>
        </is>
      </c>
      <c r="B3" s="2" t="inlineStr">
        <is>
          <t>Base nominal (°)</t>
        </is>
      </c>
      <c r="C3" s="2" t="inlineStr">
        <is>
          <t>Base ajustada (°)</t>
        </is>
      </c>
      <c r="D3" s="2" t="inlineStr">
        <is>
          <t>Posição horizontal medida (cm)</t>
        </is>
      </c>
      <c r="E3" s="2" t="inlineStr">
        <is>
          <t>Observações</t>
        </is>
      </c>
    </row>
    <row r="4">
      <c r="A4" s="3" t="n">
        <v>0</v>
      </c>
      <c r="B4" s="3" t="n">
        <v>80</v>
      </c>
      <c r="C4" s="4" t="n"/>
      <c r="D4" s="4" t="n"/>
      <c r="E4" s="4" t="n"/>
    </row>
    <row r="5">
      <c r="A5" s="3" t="n">
        <v>1</v>
      </c>
      <c r="B5" s="3" t="n">
        <v>84</v>
      </c>
      <c r="C5" s="4" t="n"/>
      <c r="D5" s="4" t="n"/>
      <c r="E5" s="4" t="n"/>
    </row>
    <row r="6">
      <c r="A6" s="3" t="n">
        <v>2</v>
      </c>
      <c r="B6" s="3" t="n">
        <v>88</v>
      </c>
      <c r="C6" s="4" t="n"/>
      <c r="D6" s="4" t="n"/>
      <c r="E6" s="4" t="n"/>
    </row>
    <row r="7">
      <c r="A7" s="3" t="n">
        <v>3</v>
      </c>
      <c r="B7" s="3" t="n">
        <v>92</v>
      </c>
      <c r="C7" s="4" t="n"/>
      <c r="D7" s="4" t="n"/>
      <c r="E7" s="4" t="n"/>
    </row>
    <row r="8">
      <c r="A8" s="3" t="n">
        <v>4</v>
      </c>
      <c r="B8" s="3" t="n">
        <v>96</v>
      </c>
      <c r="C8" s="4" t="n"/>
      <c r="D8" s="4" t="n"/>
      <c r="E8" s="4" t="n"/>
    </row>
    <row r="9">
      <c r="A9" s="3" t="n">
        <v>5</v>
      </c>
      <c r="B9" s="3" t="n">
        <v>100</v>
      </c>
      <c r="C9" s="4" t="n"/>
      <c r="D9" s="4" t="n"/>
      <c r="E9" s="4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CALIBRAÇÃO DA POSE DE CORTE DO PECÍOLO</t>
        </is>
      </c>
    </row>
    <row r="3">
      <c r="A3" s="2" t="inlineStr">
        <is>
          <t>Tipo</t>
        </is>
      </c>
      <c r="B3" s="2" t="inlineStr">
        <is>
          <t>Altura (cm)</t>
        </is>
      </c>
      <c r="C3" s="2" t="inlineStr">
        <is>
          <t>Base (°)</t>
        </is>
      </c>
      <c r="D3" s="2" t="inlineStr">
        <is>
          <t>Ombro (°)</t>
        </is>
      </c>
      <c r="E3" s="2" t="inlineStr">
        <is>
          <t>Cotovelo (°)</t>
        </is>
      </c>
      <c r="F3" s="2" t="inlineStr">
        <is>
          <t>Distância ao pecíolo (cm)</t>
        </is>
      </c>
    </row>
    <row r="4">
      <c r="A4" s="3" t="inlineStr">
        <is>
          <t>Estimativa atual</t>
        </is>
      </c>
      <c r="B4" s="3" t="n">
        <v>16</v>
      </c>
      <c r="C4" s="3" t="inlineStr">
        <is>
          <t>Calculada pela máscara</t>
        </is>
      </c>
      <c r="D4" s="3" t="n">
        <v>109</v>
      </c>
      <c r="E4" s="3" t="n">
        <v>111</v>
      </c>
      <c r="F4" s="3" t="inlineStr"/>
    </row>
    <row r="5">
      <c r="A5" s="3" t="inlineStr">
        <is>
          <t>Pose ajustada final</t>
        </is>
      </c>
      <c r="B5" s="4" t="n"/>
      <c r="C5" s="4" t="n"/>
      <c r="D5" s="4" t="n"/>
      <c r="E5" s="4" t="n"/>
      <c r="F5" s="4" t="n"/>
    </row>
    <row r="8">
      <c r="A8" s="5" t="inlineStr">
        <is>
          <t>Resultado do fechamento / observações:</t>
        </is>
      </c>
    </row>
    <row r="9">
      <c r="A9" s="6" t="n"/>
    </row>
    <row r="10"/>
    <row r="11"/>
    <row r="12"/>
  </sheetData>
  <mergeCells count="3">
    <mergeCell ref="A8:F8"/>
    <mergeCell ref="A1:F1"/>
    <mergeCell ref="A9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15" customWidth="1" min="1" max="1"/>
    <col width="28" customWidth="1" min="2" max="2"/>
  </cols>
  <sheetData>
    <row r="1">
      <c r="A1" s="1" t="inlineStr">
        <is>
          <t>INSTRUÇÕES PARA PREENCHIMENTO</t>
        </is>
      </c>
    </row>
    <row r="3" ht="28" customHeight="1">
      <c r="A3" s="7" t="inlineStr">
        <is>
          <t>1. Confirme LM2596 em aproximadamente 7,0 V e anote a tensão das pilhas dos servos.</t>
        </is>
      </c>
    </row>
    <row r="4" ht="28" customHeight="1">
      <c r="A4" s="7" t="inlineStr">
        <is>
          <t>2. Mantenha a base em 90° nas medições verticais.</t>
        </is>
      </c>
    </row>
    <row r="5" ht="28" customHeight="1">
      <c r="A5" s="7" t="inlineStr">
        <is>
          <t>3. Use o mesmo plano fixo para medir a distância entre o TCS3200 e a folha.</t>
        </is>
      </c>
    </row>
    <row r="6" ht="28" customHeight="1">
      <c r="A6" s="7" t="inlineStr">
        <is>
          <t>4. Preencha somente as células amarelas.</t>
        </is>
      </c>
    </row>
    <row r="7" ht="28" customHeight="1">
      <c r="A7" s="7" t="inlineStr">
        <is>
          <t>5. Faça três medidas de distância em cada ponto; a média será automática.</t>
        </is>
      </c>
    </row>
    <row r="8" ht="28" customHeight="1">
      <c r="A8" s="7" t="inlineStr">
        <is>
          <t>6. Use os comandos 1 a 9 do código para percorrer a curva.</t>
        </is>
      </c>
    </row>
    <row r="9" ht="28" customHeight="1">
      <c r="A9" s="7" t="inlineStr">
        <is>
          <t>7. Registre qualquer tremor, esforço, colisão ou aproximação excessiva.</t>
        </is>
      </c>
    </row>
    <row r="10" ht="28" customHeight="1">
      <c r="A10" s="7" t="inlineStr">
        <is>
          <t>8. Para o pecíolo, use k, ajuste a pose, envie p e transcreva os ângulos.</t>
        </is>
      </c>
    </row>
    <row r="11" ht="28" customHeight="1">
      <c r="A11" s="7" t="inlineStr">
        <is>
          <t>9. Salve a planilha e devolva o mesmo arquivo para recalcularmos a curva.</t>
        </is>
      </c>
    </row>
    <row r="13">
      <c r="A13" t="inlineStr">
        <is>
          <t>Data</t>
        </is>
      </c>
      <c r="B13" s="4" t="n"/>
    </row>
    <row r="14">
      <c r="A14" t="inlineStr">
        <is>
          <t>Responsável</t>
        </is>
      </c>
      <c r="B14" s="4" t="n"/>
    </row>
    <row r="15">
      <c r="A15" t="inlineStr">
        <is>
          <t>Saída LM2596 (V)</t>
        </is>
      </c>
      <c r="B15" s="4" t="n"/>
    </row>
    <row r="16">
      <c r="A16" t="inlineStr">
        <is>
          <t>Pilhas dos servos (V)</t>
        </is>
      </c>
      <c r="B16" s="4" t="n"/>
    </row>
    <row r="17">
      <c r="A17" t="inlineStr">
        <is>
          <t>Distância desejada (cm)</t>
        </is>
      </c>
      <c r="B17" s="4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2026-07-08T03:22:30Z</dcterms:created>
  <dcterms:modified xsi:type="dcterms:W3CDTF">2026-07-08T03:22:30Z</dcterms:modified>
</cp:coreProperties>
</file>